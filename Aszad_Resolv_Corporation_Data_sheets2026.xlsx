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szadkhan/Desktop/RESOLV CORPORATION Offer Letter /"/>
    </mc:Choice>
  </mc:AlternateContent>
  <xr:revisionPtr revIDLastSave="0" documentId="13_ncr:1_{FE874F51-AF68-684C-864D-34BC1335FA9F}" xr6:coauthVersionLast="47" xr6:coauthVersionMax="47" xr10:uidLastSave="{00000000-0000-0000-0000-000000000000}"/>
  <bookViews>
    <workbookView xWindow="0" yWindow="660" windowWidth="29380" windowHeight="17300" tabRatio="500" xr2:uid="{00000000-000D-0000-FFFF-FFFF00000000}"/>
  </bookViews>
  <sheets>
    <sheet name="READ ME" sheetId="1" r:id="rId1"/>
    <sheet name="1 - Branding Metrics" sheetId="2" r:id="rId2"/>
    <sheet name="2 - Rejection Management" sheetId="3" r:id="rId3"/>
    <sheet name="3 - Competitive Pricing" sheetId="4" r:id="rId4"/>
    <sheet name="4 - KPI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5" l="1"/>
  <c r="D29" i="5" s="1"/>
  <c r="B28" i="5"/>
  <c r="D28" i="5" s="1"/>
  <c r="B27" i="5"/>
  <c r="D27" i="5" s="1"/>
  <c r="B26" i="5"/>
  <c r="D26" i="5" s="1"/>
  <c r="B25" i="5"/>
  <c r="D25" i="5" s="1"/>
  <c r="B24" i="5"/>
  <c r="D24" i="5" s="1"/>
  <c r="B19" i="5"/>
  <c r="D19" i="5" s="1"/>
  <c r="B18" i="5"/>
  <c r="D18" i="5" s="1"/>
  <c r="B16" i="5"/>
  <c r="D16" i="5" s="1"/>
  <c r="B15" i="5"/>
  <c r="D15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D27" i="4"/>
  <c r="D26" i="4"/>
  <c r="D25" i="4"/>
  <c r="D24" i="4"/>
  <c r="D23" i="4"/>
  <c r="D22" i="4"/>
  <c r="D18" i="4"/>
  <c r="D17" i="4"/>
  <c r="D16" i="4"/>
  <c r="D15" i="4"/>
  <c r="D14" i="4"/>
  <c r="D13" i="4"/>
  <c r="C8" i="4"/>
  <c r="C7" i="4"/>
  <c r="C6" i="4"/>
  <c r="D25" i="3"/>
  <c r="C25" i="3"/>
  <c r="B25" i="3"/>
  <c r="D24" i="3"/>
  <c r="D23" i="3"/>
  <c r="D22" i="3"/>
  <c r="C18" i="3"/>
  <c r="C17" i="3"/>
  <c r="C16" i="3"/>
  <c r="C15" i="3"/>
  <c r="G11" i="3"/>
  <c r="F11" i="3"/>
  <c r="E11" i="3"/>
  <c r="C11" i="3"/>
  <c r="D11" i="3" s="1"/>
  <c r="B11" i="3"/>
  <c r="H10" i="3"/>
  <c r="B20" i="5" s="1"/>
  <c r="D20" i="5" s="1"/>
  <c r="D10" i="3"/>
  <c r="B17" i="5" s="1"/>
  <c r="D17" i="5" s="1"/>
  <c r="H9" i="3"/>
  <c r="D9" i="3"/>
  <c r="H8" i="3"/>
  <c r="D8" i="3"/>
  <c r="H7" i="3"/>
  <c r="D7" i="3"/>
  <c r="H6" i="3"/>
  <c r="H11" i="3" s="1"/>
  <c r="D6" i="3"/>
  <c r="C18" i="2"/>
  <c r="B18" i="2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<sst xmlns="http://schemas.openxmlformats.org/spreadsheetml/2006/main" count="251" uniqueCount="199">
  <si>
    <t>PURPOSE</t>
  </si>
  <si>
    <t>This workbook contains all placeholder data used in the Resolv Corporation Performance Report (Q1 2026).</t>
  </si>
  <si>
    <t>It is structured as a live data template. Replace the placeholder values with real data from your CRM, ERP, and survey systems each quarter.</t>
  </si>
  <si>
    <t>SHEET GUIDE</t>
  </si>
  <si>
    <t>HOW TO USE</t>
  </si>
  <si>
    <t>1.  Blue-highlighted cells = placeholder data. Replace these with real figures from your systems.</t>
  </si>
  <si>
    <t>2.  Black formula cells will auto-recalculate when source data is updated. Do not overwrite formulas.</t>
  </si>
  <si>
    <t>4.  Run this update process at the end of each quarter before submitting the leadership report.</t>
  </si>
  <si>
    <t>DATA SOURCES (where to pull real data)</t>
  </si>
  <si>
    <t>Branding Metrics          →  Quarterly customer satisfaction survey (e.g., SurveyMonkey, CRM survey module)</t>
  </si>
  <si>
    <t>Prepared by: Strategy &amp; Sales Analytics, Resolv Corporation  |  Reporting Period: Q1 2026</t>
  </si>
  <si>
    <t>Source: Quarterly Customer Satisfaction Survey  |  Update Frequency: Quarterly  |  Blue cells = placeholder data to replace with real survey results</t>
  </si>
  <si>
    <t>Metric</t>
  </si>
  <si>
    <t>Q1 2025</t>
  </si>
  <si>
    <t>Q2 2025</t>
  </si>
  <si>
    <t>Q3 2025</t>
  </si>
  <si>
    <t>Q4 2025</t>
  </si>
  <si>
    <t>Q1 2026
(Actual)</t>
  </si>
  <si>
    <t>Q1 2026
Target</t>
  </si>
  <si>
    <t>vs Target</t>
  </si>
  <si>
    <t>Net Promoter Score (NPS)</t>
  </si>
  <si>
    <t>Product Name Recognition (%)</t>
  </si>
  <si>
    <t>Quality Consistency Rating (/5)</t>
  </si>
  <si>
    <t>On-Time Delivery Rate (%)</t>
  </si>
  <si>
    <t>Customer Satisfaction (CSAT %)</t>
  </si>
  <si>
    <t>Brand Recall in Target Segment (%)</t>
  </si>
  <si>
    <t>Customer Tier</t>
  </si>
  <si>
    <t>Respondents</t>
  </si>
  <si>
    <t>NPS Score</t>
  </si>
  <si>
    <t>QoQ Change</t>
  </si>
  <si>
    <t>+9</t>
  </si>
  <si>
    <t>+7</t>
  </si>
  <si>
    <t>+4</t>
  </si>
  <si>
    <t>Overall (All Tiers)</t>
  </si>
  <si>
    <t>NOTE: Replace all blue-highlighted values with actual survey results each quarter. Weighted NPS in 'Overall' row is auto-calculated via formula.</t>
  </si>
  <si>
    <t>Source: ERP / Order Management System (rejection records) + Operations Sample Dispatch Log  |  Update Frequency: Quarterly</t>
  </si>
  <si>
    <t>Quarter</t>
  </si>
  <si>
    <t>Total Shipments</t>
  </si>
  <si>
    <t>Rejections</t>
  </si>
  <si>
    <t>Rejection Rate</t>
  </si>
  <si>
    <t>Samples Sent</t>
  </si>
  <si>
    <t>Rejections Prevented</t>
  </si>
  <si>
    <t>Est. Cost/Rejection ($)</t>
  </si>
  <si>
    <t>Est. Cost Saved ($)</t>
  </si>
  <si>
    <t>Q1 2026</t>
  </si>
  <si>
    <t>TOTAL / AVERAGE</t>
  </si>
  <si>
    <t>Root Cause</t>
  </si>
  <si>
    <t>Rejection Count</t>
  </si>
  <si>
    <t>Share of Total</t>
  </si>
  <si>
    <t>Avg Resolution (Days)</t>
  </si>
  <si>
    <t>Prevention Method</t>
  </si>
  <si>
    <t>Status</t>
  </si>
  <si>
    <t>Application mismatch (customer-side)</t>
  </si>
  <si>
    <t>Pre-shipment sample approval</t>
  </si>
  <si>
    <t>Preventable — sample program</t>
  </si>
  <si>
    <t>Specification deviation (minor)</t>
  </si>
  <si>
    <t>QC process update / re-inspection</t>
  </si>
  <si>
    <t>Addressed — process updated</t>
  </si>
  <si>
    <t>Packaging / transit damage</t>
  </si>
  <si>
    <t>Carrier claim + repack review</t>
  </si>
  <si>
    <t>In progress — carrier claim filed</t>
  </si>
  <si>
    <t>Customer requirement change</t>
  </si>
  <si>
    <t>Order review protocol</t>
  </si>
  <si>
    <t>Under review</t>
  </si>
  <si>
    <t>Sample Type</t>
  </si>
  <si>
    <t>Samples Dispatched</t>
  </si>
  <si>
    <t>Approvals Received</t>
  </si>
  <si>
    <t>Approval Rate</t>
  </si>
  <si>
    <t>Avg Time to Approval</t>
  </si>
  <si>
    <t>Notes</t>
  </si>
  <si>
    <t>Pre-Shipment Sample</t>
  </si>
  <si>
    <t>4.2 business days</t>
  </si>
  <si>
    <t>Co-Shipment Sample</t>
  </si>
  <si>
    <t>Concurrent w/ delivery</t>
  </si>
  <si>
    <t>High approval; reference standard for any post-delivery dispute</t>
  </si>
  <si>
    <t>New Customer Trial Sample</t>
  </si>
  <si>
    <t>7.1 business days</t>
  </si>
  <si>
    <t>Total / Weighted Average</t>
  </si>
  <si>
    <t>NOTE: Total rejections for share calculation in Table 2B is hardcoded as 7 (Q1 2026 total). Update if actual figure differs. Blue cells = placeholder inputs from ERP/ops log.</t>
  </si>
  <si>
    <t>Source: CRM Competitive Quote Log (sales team field entries)  |  Update Frequency: Quarterly  |  See Recommendation R1 for logging protocol</t>
  </si>
  <si>
    <t>Outcome Category</t>
  </si>
  <si>
    <t>Account Count</t>
  </si>
  <si>
    <t>% of Challenged Accounts</t>
  </si>
  <si>
    <t>Est. Annual Revenue ($)</t>
  </si>
  <si>
    <t>Volume/blanket discount or price match deployed</t>
  </si>
  <si>
    <t>Customer convinced by quality / sample program history</t>
  </si>
  <si>
    <t>Lost to Competitor</t>
  </si>
  <si>
    <t>Price gap too large OR intelligence gap — no advance response</t>
  </si>
  <si>
    <t>Total Challenged Accounts</t>
  </si>
  <si>
    <t>8.3% of active account base</t>
  </si>
  <si>
    <t>Competitor Price ($/unit)</t>
  </si>
  <si>
    <t>Resolv Price ($/unit)</t>
  </si>
  <si>
    <t>Price Gap %</t>
  </si>
  <si>
    <t>Retention Lever Applied</t>
  </si>
  <si>
    <t>Outcome</t>
  </si>
  <si>
    <t>Revenue at Stake ($)</t>
  </si>
  <si>
    <t>Volume discount applied</t>
  </si>
  <si>
    <t>Retained</t>
  </si>
  <si>
    <t>Bulk packaging + price match</t>
  </si>
  <si>
    <t>Held price — quality argument deployed</t>
  </si>
  <si>
    <t>Partial match offered — declined</t>
  </si>
  <si>
    <t>Lost</t>
  </si>
  <si>
    <t>No adjustment — margin floor</t>
  </si>
  <si>
    <t>Cannot match at spot volume</t>
  </si>
  <si>
    <t>Retention Lever</t>
  </si>
  <si>
    <t>Times Deployed</t>
  </si>
  <si>
    <t>Successes</t>
  </si>
  <si>
    <t>Success Rate</t>
  </si>
  <si>
    <t>Avg Revenue Retained ($)</t>
  </si>
  <si>
    <t>Volume / Annual Blanket Discount</t>
  </si>
  <si>
    <t>Bulk Packaging Credit</t>
  </si>
  <si>
    <t>Confirmed Order Lock-in Pricing</t>
  </si>
  <si>
    <t>Quality / Sample Value Argument</t>
  </si>
  <si>
    <t>Partial Price Match</t>
  </si>
  <si>
    <t>No Action (price held at margin floor)</t>
  </si>
  <si>
    <t>Competitor</t>
  </si>
  <si>
    <t>Q1 2026 Challenges</t>
  </si>
  <si>
    <t>Avg Price Undercut (%)</t>
  </si>
  <si>
    <t>Resolv Win Rate (%)</t>
  </si>
  <si>
    <t>Identified Competitive Weakness</t>
  </si>
  <si>
    <t>Competitor A</t>
  </si>
  <si>
    <t>Inconsistent product quality; no pre-shipment sample program offered</t>
  </si>
  <si>
    <t>Competitor B</t>
  </si>
  <si>
    <t>Long and unreliable lead times; limited customer service responsiveness</t>
  </si>
  <si>
    <t>Competitor C</t>
  </si>
  <si>
    <t>Narrow product range; limited sector coverage outside core market</t>
  </si>
  <si>
    <t>Other / Unknown</t>
  </si>
  <si>
    <t>Likely offshore / unvetted supplier; no established quality track record</t>
  </si>
  <si>
    <t>NOTE: Competitive quote data depends on sales team field reporting. Gaps in coverage are expected until CRM logging protocol (Recommendation R1) is fully implemented. Blue cells = placeholder inputs.</t>
  </si>
  <si>
    <t>All cells in this sheet pull data directly from Sheets 1–3 via formula. Update source data in those sheets and this dashboard auto-refreshes.</t>
  </si>
  <si>
    <t>KPI</t>
  </si>
  <si>
    <t>Q1 2026 Actual</t>
  </si>
  <si>
    <t>Target / Benchmark</t>
  </si>
  <si>
    <t>Source Sheet</t>
  </si>
  <si>
    <t>65+</t>
  </si>
  <si>
    <t>Product Name Recognition</t>
  </si>
  <si>
    <t>75%</t>
  </si>
  <si>
    <t>4.4/5</t>
  </si>
  <si>
    <t>On-Time Delivery Rate</t>
  </si>
  <si>
    <t>95%</t>
  </si>
  <si>
    <t>Customer Satisfaction (CSAT)</t>
  </si>
  <si>
    <t>86%</t>
  </si>
  <si>
    <t>Brand Recall in Target Segment</t>
  </si>
  <si>
    <t>52%</t>
  </si>
  <si>
    <t>—</t>
  </si>
  <si>
    <t>Total Rejections</t>
  </si>
  <si>
    <t>&lt;2.0%</t>
  </si>
  <si>
    <t>Total Samples Dispatched</t>
  </si>
  <si>
    <t>Rejections Prevented (Samples)</t>
  </si>
  <si>
    <t>Estimated Cost Saved ($)</t>
  </si>
  <si>
    <t>Competitive Challenges (Total)</t>
  </si>
  <si>
    <t>Accounts Lost to Competitor</t>
  </si>
  <si>
    <t>Overall Price Challenge Win Rate</t>
  </si>
  <si>
    <t>87%</t>
  </si>
  <si>
    <t>RESOLV CORPORATION:-  Performance Data File</t>
  </si>
  <si>
    <t>Customer Intelligence &amp; Performance Management - Q1 2026 Data Template</t>
  </si>
  <si>
    <t>Sheet 2 - Rejection Management    |  Rejection trend, root cause breakdown, sample program effectiveness</t>
  </si>
  <si>
    <t>Sheet 3 - Competitive Pricing      |  Challenge log, price gap analysis, retention levers, competitor intel</t>
  </si>
  <si>
    <t>Sheet 4 - KPI Summary              |  Top-line KPIs pulled from the three pillar sheets via formulas</t>
  </si>
  <si>
    <t>3.  Add new rows to any table as needed, extend the formulas in summary/total rows accordingly.</t>
  </si>
  <si>
    <t>Sheet 1 - Branding Metrics        |  NPS, recognition, quality, delivery, CSAT,  quarterly trend Q1 2025 to Q1 2026</t>
  </si>
  <si>
    <t>Sample Program Data    →  Operations log or CRM activity records,  sample dispatch and approval tracking</t>
  </si>
  <si>
    <t>Rejection Data             →  ERP / Order Management System,  rejection and return records</t>
  </si>
  <si>
    <t>Competitive Pricing        →  CRM competitive quote log,  sales team field entries (see Recommendation R1)</t>
  </si>
  <si>
    <t>Retention Outcomes       →  CRM account status records, retained / lost coding by account manager</t>
  </si>
  <si>
    <t>CLASSIFICATION:  Confidential,  Internal Use Only, Not for External Distribution</t>
  </si>
  <si>
    <t>SHEET 1:-  BRANDING METRICS</t>
  </si>
  <si>
    <t>TABLE 1A:-  Brand Performance Scorecard (Quarterly Trend)</t>
  </si>
  <si>
    <t>TABLE 1B:-  NPS Score by Customer Tier (Q1 2026)</t>
  </si>
  <si>
    <t>Tier 1 - Annual Blanket (&gt;$500K)</t>
  </si>
  <si>
    <t>Tier 2 - Confirmed Orders ($100K–$500K)</t>
  </si>
  <si>
    <t>Tier 3 - Spot Orders (&lt;$100K)</t>
  </si>
  <si>
    <t>SHEET 2:-  CUSTOMER REJECTION MANAGEMENT &amp; SAMPLE PROGRAM</t>
  </si>
  <si>
    <t>TABLE 2A:-  Rejection Trend by Quarter</t>
  </si>
  <si>
    <t>TABLE 2B:-  Rejection Root Cause Analysis (Q1 2026)</t>
  </si>
  <si>
    <t>TABLE 2C:-  Sample Program Effectiveness (Q1 2026)</t>
  </si>
  <si>
    <t>Most effective,  eliminates application mismatch risk</t>
  </si>
  <si>
    <t>Lowest approval rate, recommend dedicated tech support at onboarding</t>
  </si>
  <si>
    <t>SHEET 3:-  COMPETITIVE PRICING INTELLIGENCE &amp; CUSTOMER RETENTION</t>
  </si>
  <si>
    <t>TABLE 3A:-  Competitive Challenge Summary (Q1 2026)</t>
  </si>
  <si>
    <t>Retained:- Price Match Applied</t>
  </si>
  <si>
    <t>Retained:-  Value / Quality Argument</t>
  </si>
  <si>
    <t>TABLE 3B:-  Competitive Price Gap Log (Q1 2026,  Sampled Events)</t>
  </si>
  <si>
    <t>Tier 1:-  Annual Blanket</t>
  </si>
  <si>
    <t>Tier 2:-  Confirmed Orders</t>
  </si>
  <si>
    <t>Tier 3:- Spot Orders</t>
  </si>
  <si>
    <t>Tier 3:-  Spot Orders</t>
  </si>
  <si>
    <t>TABLE 3C:-  Retention Lever Effectiveness (Q1 2026)</t>
  </si>
  <si>
    <t>TABLE 3D:-  Competitor Intelligence Summary (Q1 2026)</t>
  </si>
  <si>
    <t>SHEET 4:-  EXECUTIVE KPI SUMMARY DASHBOARD</t>
  </si>
  <si>
    <t>PILLAR I:- BRANDING METRICS (Q1 2026)</t>
  </si>
  <si>
    <t>PILLAR II:-  REJECTION MANAGEMENT (Q1 2026)</t>
  </si>
  <si>
    <t>PILLAR III:-  COMPETITIVE PRICING (Q1 2026)</t>
  </si>
  <si>
    <t>Accounts Retained - Price Match</t>
  </si>
  <si>
    <t>Accounts Retained - Value Argument</t>
  </si>
  <si>
    <t>Revenue at Risk - Lost Accounts ($)</t>
  </si>
  <si>
    <t>Sheet 3 - Pricing</t>
  </si>
  <si>
    <t>Sheet 2 - Rejections</t>
  </si>
  <si>
    <t>Sheet 2 -0 Rejections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</si>
</sst>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"/>
    <numFmt numFmtId="166" formatCode="\$#,##0.00"/>
    <numFmt numFmtId="167" formatCode="s&quot;co&quot;\re"/>
    <numFmt numFmtId="168" formatCode="0.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i/>
      <sz val="14"/>
      <color rgb="FF555555"/>
      <name val="Times New Roman"/>
      <family val="1"/>
    </font>
    <font>
      <sz val="14"/>
      <color rgb="FF1A1A1A"/>
      <name val="Times New Roman"/>
      <family val="1"/>
    </font>
    <font>
      <sz val="14"/>
      <color rgb="FF0000FF"/>
      <name val="Times New Roman"/>
      <family val="1"/>
    </font>
    <font>
      <b/>
      <sz val="14"/>
      <color rgb="FF1A1A1A"/>
      <name val="Times New Roman"/>
      <family val="1"/>
    </font>
    <font>
      <sz val="14"/>
      <color rgb="FF1A6B3C"/>
      <name val="Times New Roman"/>
      <family val="1"/>
    </font>
    <font>
      <b/>
      <sz val="14"/>
      <color rgb="FF1A6B3C"/>
      <name val="Times New Roman"/>
      <family val="1"/>
    </font>
    <font>
      <b/>
      <sz val="14"/>
      <color rgb="FF0000FF"/>
      <name val="Times New Roman"/>
      <family val="1"/>
    </font>
    <font>
      <b/>
      <sz val="14"/>
      <color rgb="FF1B3A6B"/>
      <name val="Times New Roman"/>
      <family val="1"/>
    </font>
    <font>
      <sz val="14"/>
      <color rgb="FF7A5800"/>
      <name val="Times New Roman"/>
      <family val="1"/>
    </font>
    <font>
      <sz val="14"/>
      <color rgb="FF1B3A6B"/>
      <name val="Times New Roman"/>
      <family val="1"/>
    </font>
    <font>
      <b/>
      <sz val="14"/>
      <color rgb="FF8B1A2B"/>
      <name val="Times New Roman"/>
      <family val="1"/>
    </font>
    <font>
      <b/>
      <i/>
      <sz val="14"/>
      <color rgb="FF555555"/>
      <name val="Times New Roman"/>
      <family val="1"/>
    </font>
    <font>
      <i/>
      <sz val="14"/>
      <color rgb="FF1A1A1A"/>
      <name val="Times New Roman"/>
      <family val="1"/>
    </font>
    <font>
      <sz val="14"/>
      <color rgb="FF8B1A2B"/>
      <name val="Times New Roman"/>
      <family val="1"/>
    </font>
    <font>
      <b/>
      <sz val="14"/>
      <color rgb="FF7A5800"/>
      <name val="Times New Roman"/>
      <family val="1"/>
    </font>
    <font>
      <i/>
      <sz val="14"/>
      <color rgb="FF2E5FA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EF4FC"/>
        <bgColor rgb="FFF5F6F8"/>
      </patternFill>
    </fill>
    <fill>
      <patternFill patternType="solid">
        <fgColor rgb="FFFFFFFF"/>
        <bgColor rgb="FFF5F6F8"/>
      </patternFill>
    </fill>
    <fill>
      <patternFill patternType="solid">
        <fgColor rgb="FF2E5FA3"/>
        <bgColor rgb="FF3366FF"/>
      </patternFill>
    </fill>
    <fill>
      <patternFill patternType="solid">
        <fgColor rgb="FFF5F6F8"/>
        <bgColor rgb="FFEEF4FC"/>
      </patternFill>
    </fill>
    <fill>
      <patternFill patternType="solid">
        <fgColor rgb="FFFADADD"/>
        <bgColor rgb="FFFFF3CD"/>
      </patternFill>
    </fill>
    <fill>
      <patternFill patternType="solid">
        <fgColor rgb="FFFFF3CD"/>
        <bgColor rgb="FFF5F6F8"/>
      </patternFill>
    </fill>
    <fill>
      <patternFill patternType="solid">
        <fgColor rgb="FFD4EDDA"/>
        <bgColor rgb="FFD0D6E0"/>
      </patternFill>
    </fill>
  </fills>
  <borders count="2">
    <border>
      <left/>
      <right/>
      <top/>
      <bottom/>
      <diagonal/>
    </border>
    <border>
      <left style="thin">
        <color rgb="FFD0D6E0"/>
      </left>
      <right style="thin">
        <color rgb="FFD0D6E0"/>
      </right>
      <top style="thin">
        <color rgb="FFD0D6E0"/>
      </top>
      <bottom style="thin">
        <color rgb="FFD0D6E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2" fillId="0" borderId="0" xfId="0" applyFont="1"/>
    <xf numFmtId="0" fontId="3" fillId="8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3" fontId="10" fillId="3" borderId="1" xfId="0" applyNumberFormat="1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164" fontId="8" fillId="9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2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/>
    </xf>
    <xf numFmtId="9" fontId="6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166" fontId="5" fillId="6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9" fontId="17" fillId="8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9" fontId="13" fillId="7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2" fillId="5" borderId="1" xfId="0" applyFont="1" applyFill="1" applyBorder="1"/>
    <xf numFmtId="0" fontId="4" fillId="9" borderId="1" xfId="0" applyFont="1" applyFill="1" applyBorder="1" applyAlignment="1">
      <alignment horizontal="left" vertical="center"/>
    </xf>
    <xf numFmtId="167" fontId="10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168" fontId="10" fillId="9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3" fontId="10" fillId="9" borderId="1" xfId="0" applyNumberFormat="1" applyFont="1" applyFill="1" applyBorder="1" applyAlignment="1">
      <alignment horizontal="center" vertical="center"/>
    </xf>
    <xf numFmtId="165" fontId="10" fillId="9" borderId="1" xfId="0" applyNumberFormat="1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9" fontId="10" fillId="9" borderId="1" xfId="0" applyNumberFormat="1" applyFont="1" applyFill="1" applyBorder="1" applyAlignment="1">
      <alignment horizontal="center" vertical="center"/>
    </xf>
    <xf numFmtId="165" fontId="10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7A5800"/>
      <rgbColor rgb="FF800080"/>
      <rgbColor rgb="FF008080"/>
      <rgbColor rgb="FFC0C0C0"/>
      <rgbColor rgb="FF808080"/>
      <rgbColor rgb="FF9999FF"/>
      <rgbColor rgb="FF993366"/>
      <rgbColor rgb="FFFFF3CD"/>
      <rgbColor rgb="FFEEF4FC"/>
      <rgbColor rgb="FF660066"/>
      <rgbColor rgb="FFFF8080"/>
      <rgbColor rgb="FF2E5FA3"/>
      <rgbColor rgb="FFD0D6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8"/>
      <rgbColor rgb="FFD4EDDA"/>
      <rgbColor rgb="FFFFFF99"/>
      <rgbColor rgb="FF99CCFF"/>
      <rgbColor rgb="FFFF99CC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6B"/>
      <rgbColor rgb="FF339966"/>
      <rgbColor rgb="FF003300"/>
      <rgbColor rgb="FF333300"/>
      <rgbColor rgb="FF8B1A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showGridLines="0" tabSelected="1" topLeftCell="B1" zoomScaleNormal="100" workbookViewId="0">
      <pane ySplit="1" topLeftCell="A2" activePane="bottomLeft" state="frozen"/>
      <selection pane="bottomLeft" activeCell="A12" sqref="A12"/>
    </sheetView>
  </sheetViews>
  <sheetFormatPr baseColWidth="10" defaultColWidth="158.6640625" defaultRowHeight="18" x14ac:dyDescent="0.2"/>
  <cols>
    <col min="1" max="16384" width="158.6640625" style="3"/>
  </cols>
  <sheetData>
    <row r="1" spans="1:1" ht="46" customHeight="1" x14ac:dyDescent="0.2">
      <c r="A1" s="49" t="s">
        <v>154</v>
      </c>
    </row>
    <row r="2" spans="1:1" ht="33" customHeight="1" x14ac:dyDescent="0.2">
      <c r="A2" s="50" t="s">
        <v>155</v>
      </c>
    </row>
    <row r="3" spans="1:1" ht="7.5" customHeight="1" x14ac:dyDescent="0.2">
      <c r="A3" s="51"/>
    </row>
    <row r="4" spans="1:1" ht="30" customHeight="1" x14ac:dyDescent="0.2">
      <c r="A4" s="52" t="s">
        <v>0</v>
      </c>
    </row>
    <row r="5" spans="1:1" ht="30" customHeight="1" x14ac:dyDescent="0.2">
      <c r="A5" s="51" t="s">
        <v>1</v>
      </c>
    </row>
    <row r="6" spans="1:1" ht="30" customHeight="1" x14ac:dyDescent="0.2">
      <c r="A6" s="51" t="s">
        <v>2</v>
      </c>
    </row>
    <row r="7" spans="1:1" ht="7.5" customHeight="1" x14ac:dyDescent="0.2">
      <c r="A7" s="51"/>
    </row>
    <row r="8" spans="1:1" ht="33" customHeight="1" x14ac:dyDescent="0.2">
      <c r="A8" s="52" t="s">
        <v>3</v>
      </c>
    </row>
    <row r="9" spans="1:1" ht="24" customHeight="1" x14ac:dyDescent="0.2">
      <c r="A9" s="50" t="s">
        <v>160</v>
      </c>
    </row>
    <row r="10" spans="1:1" ht="21" customHeight="1" x14ac:dyDescent="0.2">
      <c r="A10" s="50" t="s">
        <v>156</v>
      </c>
    </row>
    <row r="11" spans="1:1" ht="24" customHeight="1" x14ac:dyDescent="0.2">
      <c r="A11" s="50" t="s">
        <v>157</v>
      </c>
    </row>
    <row r="12" spans="1:1" ht="26" customHeight="1" x14ac:dyDescent="0.2">
      <c r="A12" s="50" t="s">
        <v>158</v>
      </c>
    </row>
    <row r="13" spans="1:1" ht="11" customHeight="1" x14ac:dyDescent="0.2">
      <c r="A13" s="51"/>
    </row>
    <row r="14" spans="1:1" ht="41" customHeight="1" x14ac:dyDescent="0.2">
      <c r="A14" s="52" t="s">
        <v>4</v>
      </c>
    </row>
    <row r="15" spans="1:1" ht="18" customHeight="1" x14ac:dyDescent="0.2">
      <c r="A15" s="51" t="s">
        <v>5</v>
      </c>
    </row>
    <row r="16" spans="1:1" ht="18" customHeight="1" x14ac:dyDescent="0.2">
      <c r="A16" s="51" t="s">
        <v>6</v>
      </c>
    </row>
    <row r="17" spans="1:1" ht="18" customHeight="1" x14ac:dyDescent="0.2">
      <c r="A17" s="51" t="s">
        <v>159</v>
      </c>
    </row>
    <row r="18" spans="1:1" ht="18" customHeight="1" x14ac:dyDescent="0.2">
      <c r="A18" s="51" t="s">
        <v>7</v>
      </c>
    </row>
    <row r="19" spans="1:1" ht="7.5" customHeight="1" x14ac:dyDescent="0.2">
      <c r="A19" s="51"/>
    </row>
    <row r="20" spans="1:1" ht="34" customHeight="1" x14ac:dyDescent="0.2">
      <c r="A20" s="52" t="s">
        <v>8</v>
      </c>
    </row>
    <row r="21" spans="1:1" ht="18" customHeight="1" x14ac:dyDescent="0.2">
      <c r="A21" s="53" t="s">
        <v>9</v>
      </c>
    </row>
    <row r="22" spans="1:1" ht="18" customHeight="1" x14ac:dyDescent="0.2">
      <c r="A22" s="53" t="s">
        <v>162</v>
      </c>
    </row>
    <row r="23" spans="1:1" ht="18" customHeight="1" x14ac:dyDescent="0.2">
      <c r="A23" s="53" t="s">
        <v>161</v>
      </c>
    </row>
    <row r="24" spans="1:1" ht="18" customHeight="1" x14ac:dyDescent="0.2">
      <c r="A24" s="53" t="s">
        <v>163</v>
      </c>
    </row>
    <row r="25" spans="1:1" ht="18" customHeight="1" x14ac:dyDescent="0.2">
      <c r="A25" s="53" t="s">
        <v>164</v>
      </c>
    </row>
    <row r="26" spans="1:1" ht="7.5" customHeight="1" x14ac:dyDescent="0.2">
      <c r="A26" s="51"/>
    </row>
    <row r="27" spans="1:1" ht="35" customHeight="1" x14ac:dyDescent="0.2">
      <c r="A27" s="54" t="s">
        <v>165</v>
      </c>
    </row>
    <row r="28" spans="1:1" ht="25" customHeight="1" x14ac:dyDescent="0.2">
      <c r="A28" s="50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"/>
    </sheetView>
  </sheetViews>
  <sheetFormatPr baseColWidth="10" defaultColWidth="8.6640625" defaultRowHeight="18" x14ac:dyDescent="0.2"/>
  <cols>
    <col min="1" max="1" width="59.33203125" style="3" customWidth="1"/>
    <col min="2" max="7" width="14" style="3" customWidth="1"/>
    <col min="8" max="8" width="18" style="3" customWidth="1"/>
    <col min="9" max="16384" width="8.6640625" style="3"/>
  </cols>
  <sheetData>
    <row r="1" spans="1:8" ht="30" customHeight="1" x14ac:dyDescent="0.2">
      <c r="A1" s="1" t="s">
        <v>166</v>
      </c>
      <c r="B1" s="2"/>
      <c r="C1" s="2"/>
      <c r="D1" s="2"/>
      <c r="E1" s="2"/>
      <c r="F1" s="2"/>
      <c r="G1" s="2"/>
      <c r="H1" s="2"/>
    </row>
    <row r="2" spans="1:8" ht="63" customHeight="1" x14ac:dyDescent="0.2">
      <c r="A2" s="4" t="s">
        <v>11</v>
      </c>
    </row>
    <row r="4" spans="1:8" ht="30" customHeight="1" x14ac:dyDescent="0.2">
      <c r="A4" s="1" t="s">
        <v>167</v>
      </c>
      <c r="B4" s="2"/>
      <c r="C4" s="2"/>
      <c r="D4" s="2"/>
      <c r="E4" s="2"/>
      <c r="F4" s="2"/>
      <c r="G4" s="2"/>
      <c r="H4" s="2"/>
    </row>
    <row r="5" spans="1:8" ht="30" customHeight="1" x14ac:dyDescent="0.2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</row>
    <row r="6" spans="1:8" ht="30" customHeight="1" x14ac:dyDescent="0.2">
      <c r="A6" s="6" t="s">
        <v>20</v>
      </c>
      <c r="B6" s="7">
        <v>52</v>
      </c>
      <c r="C6" s="7">
        <v>55</v>
      </c>
      <c r="D6" s="7">
        <v>58</v>
      </c>
      <c r="E6" s="7">
        <v>61</v>
      </c>
      <c r="F6" s="7">
        <v>68</v>
      </c>
      <c r="G6" s="8">
        <v>65</v>
      </c>
      <c r="H6" s="8" t="str">
        <f t="shared" ref="H6:H11" si="0">IF(F6&gt;=G6,"✓ Above Target","✗ Below Target")</f>
        <v>✓ Above Target</v>
      </c>
    </row>
    <row r="7" spans="1:8" ht="23" customHeight="1" x14ac:dyDescent="0.2">
      <c r="A7" s="9" t="s">
        <v>21</v>
      </c>
      <c r="B7" s="10">
        <v>0.65</v>
      </c>
      <c r="C7" s="10">
        <v>0.68</v>
      </c>
      <c r="D7" s="10">
        <v>0.71</v>
      </c>
      <c r="E7" s="10">
        <v>0.74</v>
      </c>
      <c r="F7" s="10">
        <v>0.79</v>
      </c>
      <c r="G7" s="11">
        <v>0.75</v>
      </c>
      <c r="H7" s="12" t="str">
        <f t="shared" si="0"/>
        <v>✓ Above Target</v>
      </c>
    </row>
    <row r="8" spans="1:8" ht="25" customHeight="1" x14ac:dyDescent="0.2">
      <c r="A8" s="6" t="s">
        <v>22</v>
      </c>
      <c r="B8" s="7">
        <v>3.9</v>
      </c>
      <c r="C8" s="7">
        <v>4</v>
      </c>
      <c r="D8" s="7">
        <v>4.0999999999999996</v>
      </c>
      <c r="E8" s="7">
        <v>4.3</v>
      </c>
      <c r="F8" s="7">
        <v>4.5</v>
      </c>
      <c r="G8" s="8">
        <v>4.4000000000000004</v>
      </c>
      <c r="H8" s="8" t="str">
        <f t="shared" si="0"/>
        <v>✓ Above Target</v>
      </c>
    </row>
    <row r="9" spans="1:8" ht="22" customHeight="1" x14ac:dyDescent="0.2">
      <c r="A9" s="9" t="s">
        <v>23</v>
      </c>
      <c r="B9" s="10">
        <v>0.88</v>
      </c>
      <c r="C9" s="10">
        <v>0.89</v>
      </c>
      <c r="D9" s="10">
        <v>0.91</v>
      </c>
      <c r="E9" s="10">
        <v>0.93</v>
      </c>
      <c r="F9" s="10">
        <v>0.96</v>
      </c>
      <c r="G9" s="11">
        <v>0.95</v>
      </c>
      <c r="H9" s="12" t="str">
        <f t="shared" si="0"/>
        <v>✓ Above Target</v>
      </c>
    </row>
    <row r="10" spans="1:8" ht="22" customHeight="1" x14ac:dyDescent="0.2">
      <c r="A10" s="6" t="s">
        <v>24</v>
      </c>
      <c r="B10" s="13">
        <v>0.79</v>
      </c>
      <c r="C10" s="13">
        <v>0.81</v>
      </c>
      <c r="D10" s="13">
        <v>0.82</v>
      </c>
      <c r="E10" s="13">
        <v>0.85</v>
      </c>
      <c r="F10" s="13">
        <v>0.88</v>
      </c>
      <c r="G10" s="14">
        <v>0.86</v>
      </c>
      <c r="H10" s="8" t="str">
        <f t="shared" si="0"/>
        <v>✓ Above Target</v>
      </c>
    </row>
    <row r="11" spans="1:8" ht="24" customHeight="1" x14ac:dyDescent="0.2">
      <c r="A11" s="9" t="s">
        <v>25</v>
      </c>
      <c r="B11" s="10">
        <v>0.38</v>
      </c>
      <c r="C11" s="10">
        <v>0.41</v>
      </c>
      <c r="D11" s="10">
        <v>0.44</v>
      </c>
      <c r="E11" s="10">
        <v>0.49</v>
      </c>
      <c r="F11" s="10">
        <v>0.55000000000000004</v>
      </c>
      <c r="G11" s="11">
        <v>0.52</v>
      </c>
      <c r="H11" s="12" t="str">
        <f t="shared" si="0"/>
        <v>✓ Above Target</v>
      </c>
    </row>
    <row r="13" spans="1:8" ht="24" customHeight="1" x14ac:dyDescent="0.2">
      <c r="A13" s="1" t="s">
        <v>168</v>
      </c>
      <c r="B13" s="2"/>
      <c r="C13" s="2"/>
      <c r="D13" s="2"/>
    </row>
    <row r="14" spans="1:8" ht="21.75" customHeight="1" x14ac:dyDescent="0.2">
      <c r="A14" s="5" t="s">
        <v>26</v>
      </c>
      <c r="B14" s="5" t="s">
        <v>27</v>
      </c>
      <c r="C14" s="5" t="s">
        <v>28</v>
      </c>
      <c r="D14" s="5" t="s">
        <v>29</v>
      </c>
    </row>
    <row r="15" spans="1:8" ht="25" customHeight="1" x14ac:dyDescent="0.2">
      <c r="A15" s="6" t="s">
        <v>169</v>
      </c>
      <c r="B15" s="7">
        <v>38</v>
      </c>
      <c r="C15" s="7">
        <v>81</v>
      </c>
      <c r="D15" s="15" t="s">
        <v>30</v>
      </c>
    </row>
    <row r="16" spans="1:8" ht="21" customHeight="1" x14ac:dyDescent="0.2">
      <c r="A16" s="9" t="s">
        <v>170</v>
      </c>
      <c r="B16" s="16">
        <v>52</v>
      </c>
      <c r="C16" s="16">
        <v>71</v>
      </c>
      <c r="D16" s="17" t="s">
        <v>31</v>
      </c>
    </row>
    <row r="17" spans="1:4" ht="27" customHeight="1" x14ac:dyDescent="0.2">
      <c r="A17" s="6" t="s">
        <v>171</v>
      </c>
      <c r="B17" s="7">
        <v>22</v>
      </c>
      <c r="C17" s="7">
        <v>48</v>
      </c>
      <c r="D17" s="15" t="s">
        <v>32</v>
      </c>
    </row>
    <row r="18" spans="1:4" ht="26" customHeight="1" x14ac:dyDescent="0.2">
      <c r="A18" s="18" t="s">
        <v>33</v>
      </c>
      <c r="B18" s="19">
        <f>SUM(B15:B17)</f>
        <v>112</v>
      </c>
      <c r="C18" s="20">
        <f>SUMPRODUCT(B15:B17,C15:C17)/SUM(B15:B17)</f>
        <v>69.875</v>
      </c>
      <c r="D18" s="21" t="s">
        <v>31</v>
      </c>
    </row>
    <row r="20" spans="1:4" ht="64" customHeight="1" x14ac:dyDescent="0.2">
      <c r="A20" s="4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showGridLines="0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F27" sqref="F27"/>
    </sheetView>
  </sheetViews>
  <sheetFormatPr baseColWidth="10" defaultColWidth="8.6640625" defaultRowHeight="18" x14ac:dyDescent="0.2"/>
  <cols>
    <col min="1" max="1" width="47.5" style="3" customWidth="1"/>
    <col min="2" max="3" width="16" style="3" customWidth="1"/>
    <col min="4" max="4" width="18.83203125" style="3" customWidth="1"/>
    <col min="5" max="5" width="22" style="3" customWidth="1"/>
    <col min="6" max="6" width="40.33203125" style="3" customWidth="1"/>
    <col min="7" max="7" width="15.1640625" style="3" customWidth="1"/>
    <col min="8" max="8" width="13.1640625" style="3" customWidth="1"/>
    <col min="9" max="16384" width="8.6640625" style="3"/>
  </cols>
  <sheetData>
    <row r="1" spans="1:9" ht="38" customHeight="1" x14ac:dyDescent="0.2">
      <c r="A1" s="1" t="s">
        <v>172</v>
      </c>
      <c r="B1" s="2"/>
      <c r="C1" s="2"/>
      <c r="D1" s="2"/>
      <c r="E1" s="2"/>
      <c r="F1" s="2"/>
      <c r="G1" s="2"/>
      <c r="H1" s="2"/>
      <c r="I1" s="2"/>
    </row>
    <row r="2" spans="1:9" ht="70" customHeight="1" x14ac:dyDescent="0.2">
      <c r="A2" s="55" t="s">
        <v>35</v>
      </c>
    </row>
    <row r="4" spans="1:9" ht="41" customHeight="1" x14ac:dyDescent="0.2">
      <c r="A4" s="1" t="s">
        <v>173</v>
      </c>
      <c r="B4" s="2"/>
      <c r="C4" s="2"/>
      <c r="D4" s="2"/>
      <c r="E4" s="2"/>
      <c r="F4" s="2"/>
      <c r="G4" s="2"/>
      <c r="H4" s="2"/>
    </row>
    <row r="5" spans="1:9" ht="62" customHeight="1" x14ac:dyDescent="0.2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</row>
    <row r="6" spans="1:9" ht="27" customHeight="1" x14ac:dyDescent="0.2">
      <c r="A6" s="6" t="s">
        <v>13</v>
      </c>
      <c r="B6" s="7">
        <v>312</v>
      </c>
      <c r="C6" s="7">
        <v>18</v>
      </c>
      <c r="D6" s="22">
        <f t="shared" ref="D6:D11" si="0">C6/B6</f>
        <v>5.7692307692307696E-2</v>
      </c>
      <c r="E6" s="7">
        <v>41</v>
      </c>
      <c r="F6" s="7">
        <v>9</v>
      </c>
      <c r="G6" s="23">
        <v>4200</v>
      </c>
      <c r="H6" s="24">
        <f>F6*G6</f>
        <v>37800</v>
      </c>
    </row>
    <row r="7" spans="1:9" ht="23" customHeight="1" x14ac:dyDescent="0.2">
      <c r="A7" s="9" t="s">
        <v>14</v>
      </c>
      <c r="B7" s="16">
        <v>329</v>
      </c>
      <c r="C7" s="16">
        <v>14</v>
      </c>
      <c r="D7" s="22">
        <f t="shared" si="0"/>
        <v>4.2553191489361701E-2</v>
      </c>
      <c r="E7" s="16">
        <v>58</v>
      </c>
      <c r="F7" s="16">
        <v>13</v>
      </c>
      <c r="G7" s="25">
        <v>4200</v>
      </c>
      <c r="H7" s="26">
        <f>F7*G7</f>
        <v>54600</v>
      </c>
    </row>
    <row r="8" spans="1:9" ht="26" customHeight="1" x14ac:dyDescent="0.2">
      <c r="A8" s="6" t="s">
        <v>15</v>
      </c>
      <c r="B8" s="7">
        <v>341</v>
      </c>
      <c r="C8" s="7">
        <v>10</v>
      </c>
      <c r="D8" s="27">
        <f t="shared" si="0"/>
        <v>2.932551319648094E-2</v>
      </c>
      <c r="E8" s="7">
        <v>74</v>
      </c>
      <c r="F8" s="7">
        <v>17</v>
      </c>
      <c r="G8" s="23">
        <v>4200</v>
      </c>
      <c r="H8" s="24">
        <f>F8*G8</f>
        <v>71400</v>
      </c>
    </row>
    <row r="9" spans="1:9" ht="27" customHeight="1" x14ac:dyDescent="0.2">
      <c r="A9" s="9" t="s">
        <v>16</v>
      </c>
      <c r="B9" s="16">
        <v>358</v>
      </c>
      <c r="C9" s="16">
        <v>8</v>
      </c>
      <c r="D9" s="27">
        <f t="shared" si="0"/>
        <v>2.23463687150838E-2</v>
      </c>
      <c r="E9" s="16">
        <v>89</v>
      </c>
      <c r="F9" s="16">
        <v>20</v>
      </c>
      <c r="G9" s="25">
        <v>4200</v>
      </c>
      <c r="H9" s="26">
        <f>F9*G9</f>
        <v>84000</v>
      </c>
    </row>
    <row r="10" spans="1:9" ht="25" customHeight="1" x14ac:dyDescent="0.2">
      <c r="A10" s="28" t="s">
        <v>44</v>
      </c>
      <c r="B10" s="29">
        <v>372</v>
      </c>
      <c r="C10" s="29">
        <v>7</v>
      </c>
      <c r="D10" s="30">
        <f t="shared" si="0"/>
        <v>1.8817204301075269E-2</v>
      </c>
      <c r="E10" s="29">
        <v>104</v>
      </c>
      <c r="F10" s="29">
        <v>23</v>
      </c>
      <c r="G10" s="23">
        <v>4200</v>
      </c>
      <c r="H10" s="31">
        <f>F10*G10</f>
        <v>96600</v>
      </c>
    </row>
    <row r="11" spans="1:9" ht="25" customHeight="1" x14ac:dyDescent="0.2">
      <c r="A11" s="32" t="s">
        <v>45</v>
      </c>
      <c r="B11" s="33">
        <f>SUM(B6:B10)</f>
        <v>1712</v>
      </c>
      <c r="C11" s="33">
        <f>SUM(C6:C10)</f>
        <v>57</v>
      </c>
      <c r="D11" s="34">
        <f t="shared" si="0"/>
        <v>3.3294392523364483E-2</v>
      </c>
      <c r="E11" s="33">
        <f>SUM(E6:E10)</f>
        <v>366</v>
      </c>
      <c r="F11" s="33">
        <f>SUM(F6:F10)</f>
        <v>82</v>
      </c>
      <c r="G11" s="35">
        <f>AVERAGE(G6:G10)</f>
        <v>4200</v>
      </c>
      <c r="H11" s="35">
        <f>SUM(H6:H10)</f>
        <v>344400</v>
      </c>
    </row>
    <row r="13" spans="1:9" ht="40" customHeight="1" x14ac:dyDescent="0.2">
      <c r="A13" s="1" t="s">
        <v>174</v>
      </c>
      <c r="B13" s="2"/>
      <c r="C13" s="2"/>
      <c r="D13" s="2"/>
      <c r="E13" s="2"/>
      <c r="F13" s="2"/>
    </row>
    <row r="14" spans="1:9" ht="50" customHeight="1" x14ac:dyDescent="0.2">
      <c r="A14" s="5" t="s">
        <v>46</v>
      </c>
      <c r="B14" s="5" t="s">
        <v>47</v>
      </c>
      <c r="C14" s="5" t="s">
        <v>48</v>
      </c>
      <c r="D14" s="5" t="s">
        <v>49</v>
      </c>
      <c r="E14" s="5" t="s">
        <v>50</v>
      </c>
      <c r="F14" s="5" t="s">
        <v>51</v>
      </c>
    </row>
    <row r="15" spans="1:9" ht="38" x14ac:dyDescent="0.2">
      <c r="A15" s="6" t="s">
        <v>52</v>
      </c>
      <c r="B15" s="7">
        <v>3</v>
      </c>
      <c r="C15" s="36">
        <f>B15/7</f>
        <v>0.42857142857142855</v>
      </c>
      <c r="D15" s="7">
        <v>6</v>
      </c>
      <c r="E15" s="37" t="s">
        <v>53</v>
      </c>
      <c r="F15" s="38" t="s">
        <v>54</v>
      </c>
    </row>
    <row r="16" spans="1:9" ht="38" x14ac:dyDescent="0.2">
      <c r="A16" s="9" t="s">
        <v>55</v>
      </c>
      <c r="B16" s="16">
        <v>2</v>
      </c>
      <c r="C16" s="39">
        <f>B16/7</f>
        <v>0.2857142857142857</v>
      </c>
      <c r="D16" s="16">
        <v>4</v>
      </c>
      <c r="E16" s="40" t="s">
        <v>56</v>
      </c>
      <c r="F16" s="41" t="s">
        <v>57</v>
      </c>
    </row>
    <row r="17" spans="1:6" ht="38" x14ac:dyDescent="0.2">
      <c r="A17" s="6" t="s">
        <v>58</v>
      </c>
      <c r="B17" s="7">
        <v>1</v>
      </c>
      <c r="C17" s="36">
        <f>B17/7</f>
        <v>0.14285714285714285</v>
      </c>
      <c r="D17" s="7">
        <v>3</v>
      </c>
      <c r="E17" s="37" t="s">
        <v>59</v>
      </c>
      <c r="F17" s="42" t="s">
        <v>60</v>
      </c>
    </row>
    <row r="18" spans="1:6" ht="38" x14ac:dyDescent="0.2">
      <c r="A18" s="9" t="s">
        <v>61</v>
      </c>
      <c r="B18" s="16">
        <v>1</v>
      </c>
      <c r="C18" s="39">
        <f>B18/7</f>
        <v>0.14285714285714285</v>
      </c>
      <c r="D18" s="16">
        <v>8</v>
      </c>
      <c r="E18" s="40" t="s">
        <v>62</v>
      </c>
      <c r="F18" s="43" t="s">
        <v>63</v>
      </c>
    </row>
    <row r="20" spans="1:6" ht="50" customHeight="1" x14ac:dyDescent="0.2">
      <c r="A20" s="1" t="s">
        <v>175</v>
      </c>
      <c r="B20" s="2"/>
      <c r="C20" s="2"/>
      <c r="D20" s="2"/>
      <c r="E20" s="2"/>
      <c r="F20" s="2"/>
    </row>
    <row r="21" spans="1:6" ht="48" customHeight="1" x14ac:dyDescent="0.2">
      <c r="A21" s="5" t="s">
        <v>64</v>
      </c>
      <c r="B21" s="5" t="s">
        <v>65</v>
      </c>
      <c r="C21" s="5" t="s">
        <v>66</v>
      </c>
      <c r="D21" s="5" t="s">
        <v>67</v>
      </c>
      <c r="E21" s="5" t="s">
        <v>68</v>
      </c>
      <c r="F21" s="5" t="s">
        <v>69</v>
      </c>
    </row>
    <row r="22" spans="1:6" ht="38" x14ac:dyDescent="0.2">
      <c r="A22" s="6" t="s">
        <v>70</v>
      </c>
      <c r="B22" s="7">
        <v>61</v>
      </c>
      <c r="C22" s="7">
        <v>58</v>
      </c>
      <c r="D22" s="44">
        <f>C22/B22</f>
        <v>0.95081967213114749</v>
      </c>
      <c r="E22" s="45" t="s">
        <v>71</v>
      </c>
      <c r="F22" s="37" t="s">
        <v>176</v>
      </c>
    </row>
    <row r="23" spans="1:6" ht="38" x14ac:dyDescent="0.2">
      <c r="A23" s="9" t="s">
        <v>72</v>
      </c>
      <c r="B23" s="16">
        <v>43</v>
      </c>
      <c r="C23" s="16">
        <v>40</v>
      </c>
      <c r="D23" s="44">
        <f>C23/B23</f>
        <v>0.93023255813953487</v>
      </c>
      <c r="E23" s="46" t="s">
        <v>73</v>
      </c>
      <c r="F23" s="40" t="s">
        <v>74</v>
      </c>
    </row>
    <row r="24" spans="1:6" ht="38" x14ac:dyDescent="0.2">
      <c r="A24" s="6" t="s">
        <v>75</v>
      </c>
      <c r="B24" s="7">
        <v>18</v>
      </c>
      <c r="C24" s="7">
        <v>14</v>
      </c>
      <c r="D24" s="44">
        <f>C24/B24</f>
        <v>0.77777777777777779</v>
      </c>
      <c r="E24" s="45" t="s">
        <v>76</v>
      </c>
      <c r="F24" s="37" t="s">
        <v>177</v>
      </c>
    </row>
    <row r="25" spans="1:6" ht="40" customHeight="1" x14ac:dyDescent="0.2">
      <c r="A25" s="32" t="s">
        <v>77</v>
      </c>
      <c r="B25" s="47">
        <f>SUM(B22:B24)</f>
        <v>122</v>
      </c>
      <c r="C25" s="47">
        <f>SUM(C22:C24)</f>
        <v>112</v>
      </c>
      <c r="D25" s="44">
        <f>C25/B25</f>
        <v>0.91803278688524592</v>
      </c>
      <c r="E25" s="48"/>
      <c r="F25" s="48"/>
    </row>
    <row r="27" spans="1:6" ht="85" customHeight="1" x14ac:dyDescent="0.2">
      <c r="A27" s="55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6" sqref="H6"/>
    </sheetView>
  </sheetViews>
  <sheetFormatPr baseColWidth="10" defaultColWidth="8.6640625" defaultRowHeight="18" x14ac:dyDescent="0.2"/>
  <cols>
    <col min="1" max="1" width="44.33203125" style="3" customWidth="1"/>
    <col min="2" max="4" width="16" style="3" customWidth="1"/>
    <col min="5" max="5" width="26.6640625" style="3" customWidth="1"/>
    <col min="6" max="6" width="14" style="3" customWidth="1"/>
    <col min="7" max="7" width="18" style="3" customWidth="1"/>
    <col min="8" max="16384" width="8.6640625" style="3"/>
  </cols>
  <sheetData>
    <row r="1" spans="1:8" ht="39" customHeight="1" x14ac:dyDescent="0.2">
      <c r="A1" s="1" t="s">
        <v>178</v>
      </c>
      <c r="B1" s="2"/>
      <c r="C1" s="2"/>
      <c r="D1" s="2"/>
      <c r="E1" s="2"/>
      <c r="F1" s="2"/>
      <c r="G1" s="2"/>
      <c r="H1" s="2"/>
    </row>
    <row r="2" spans="1:8" ht="105" customHeight="1" x14ac:dyDescent="0.2">
      <c r="A2" s="55" t="s">
        <v>79</v>
      </c>
    </row>
    <row r="4" spans="1:8" ht="35" customHeight="1" x14ac:dyDescent="0.2">
      <c r="A4" s="1" t="s">
        <v>179</v>
      </c>
      <c r="B4" s="2"/>
      <c r="C4" s="2"/>
      <c r="D4" s="2"/>
      <c r="E4" s="2"/>
    </row>
    <row r="5" spans="1:8" ht="57" customHeight="1" x14ac:dyDescent="0.2">
      <c r="A5" s="5" t="s">
        <v>80</v>
      </c>
      <c r="B5" s="5" t="s">
        <v>81</v>
      </c>
      <c r="C5" s="5" t="s">
        <v>82</v>
      </c>
      <c r="D5" s="5" t="s">
        <v>83</v>
      </c>
      <c r="E5" s="5" t="s">
        <v>69</v>
      </c>
    </row>
    <row r="6" spans="1:8" ht="38" x14ac:dyDescent="0.2">
      <c r="A6" s="56" t="s">
        <v>180</v>
      </c>
      <c r="B6" s="7">
        <v>22</v>
      </c>
      <c r="C6" s="36">
        <f>B6/B9</f>
        <v>0.70967741935483875</v>
      </c>
      <c r="D6" s="23">
        <v>1060000</v>
      </c>
      <c r="E6" s="57" t="s">
        <v>84</v>
      </c>
    </row>
    <row r="7" spans="1:8" ht="57" x14ac:dyDescent="0.2">
      <c r="A7" s="58" t="s">
        <v>181</v>
      </c>
      <c r="B7" s="16">
        <v>5</v>
      </c>
      <c r="C7" s="39">
        <f>B7/B9</f>
        <v>0.16129032258064516</v>
      </c>
      <c r="D7" s="25">
        <v>240000</v>
      </c>
      <c r="E7" s="59" t="s">
        <v>85</v>
      </c>
    </row>
    <row r="8" spans="1:8" ht="57" x14ac:dyDescent="0.2">
      <c r="A8" s="60" t="s">
        <v>86</v>
      </c>
      <c r="B8" s="7">
        <v>4</v>
      </c>
      <c r="C8" s="36">
        <f>B8/B9</f>
        <v>0.12903225806451613</v>
      </c>
      <c r="D8" s="23">
        <v>620000</v>
      </c>
      <c r="E8" s="57" t="s">
        <v>87</v>
      </c>
    </row>
    <row r="9" spans="1:8" ht="38" x14ac:dyDescent="0.2">
      <c r="A9" s="32" t="s">
        <v>88</v>
      </c>
      <c r="B9" s="47">
        <v>31</v>
      </c>
      <c r="C9" s="61">
        <v>1</v>
      </c>
      <c r="D9" s="35">
        <v>1920000</v>
      </c>
      <c r="E9" s="62" t="s">
        <v>89</v>
      </c>
    </row>
    <row r="11" spans="1:8" ht="53" customHeight="1" x14ac:dyDescent="0.2">
      <c r="A11" s="1" t="s">
        <v>182</v>
      </c>
      <c r="B11" s="2"/>
      <c r="C11" s="2"/>
      <c r="D11" s="2"/>
      <c r="E11" s="2"/>
      <c r="F11" s="2"/>
      <c r="G11" s="2"/>
    </row>
    <row r="12" spans="1:8" ht="49" customHeight="1" x14ac:dyDescent="0.2">
      <c r="A12" s="5" t="s">
        <v>26</v>
      </c>
      <c r="B12" s="5" t="s">
        <v>90</v>
      </c>
      <c r="C12" s="5" t="s">
        <v>91</v>
      </c>
      <c r="D12" s="5" t="s">
        <v>92</v>
      </c>
      <c r="E12" s="5" t="s">
        <v>93</v>
      </c>
      <c r="F12" s="5" t="s">
        <v>94</v>
      </c>
      <c r="G12" s="5" t="s">
        <v>95</v>
      </c>
    </row>
    <row r="13" spans="1:8" ht="19" x14ac:dyDescent="0.2">
      <c r="A13" s="6" t="s">
        <v>183</v>
      </c>
      <c r="B13" s="63">
        <v>12.4</v>
      </c>
      <c r="C13" s="63">
        <v>12.8</v>
      </c>
      <c r="D13" s="64">
        <f t="shared" ref="D13:D18" si="0">(C13-B13)/B13</f>
        <v>3.2258064516129059E-2</v>
      </c>
      <c r="E13" s="37" t="s">
        <v>96</v>
      </c>
      <c r="F13" s="65" t="s">
        <v>97</v>
      </c>
      <c r="G13" s="23">
        <v>520000</v>
      </c>
    </row>
    <row r="14" spans="1:8" ht="38" x14ac:dyDescent="0.2">
      <c r="A14" s="9" t="s">
        <v>183</v>
      </c>
      <c r="B14" s="66">
        <v>11.9</v>
      </c>
      <c r="C14" s="66">
        <v>12.6</v>
      </c>
      <c r="D14" s="67">
        <f t="shared" si="0"/>
        <v>5.8823529411764643E-2</v>
      </c>
      <c r="E14" s="40" t="s">
        <v>98</v>
      </c>
      <c r="F14" s="68" t="s">
        <v>97</v>
      </c>
      <c r="G14" s="25">
        <v>610000</v>
      </c>
    </row>
    <row r="15" spans="1:8" ht="38" x14ac:dyDescent="0.2">
      <c r="A15" s="6" t="s">
        <v>184</v>
      </c>
      <c r="B15" s="63">
        <v>14.2</v>
      </c>
      <c r="C15" s="63">
        <v>14.5</v>
      </c>
      <c r="D15" s="64">
        <f t="shared" si="0"/>
        <v>2.1126760563380333E-2</v>
      </c>
      <c r="E15" s="37" t="s">
        <v>99</v>
      </c>
      <c r="F15" s="65" t="s">
        <v>97</v>
      </c>
      <c r="G15" s="23">
        <v>180000</v>
      </c>
    </row>
    <row r="16" spans="1:8" ht="38" x14ac:dyDescent="0.2">
      <c r="A16" s="9" t="s">
        <v>184</v>
      </c>
      <c r="B16" s="66">
        <v>13.8</v>
      </c>
      <c r="C16" s="66">
        <v>15.1</v>
      </c>
      <c r="D16" s="67">
        <f t="shared" si="0"/>
        <v>9.4202898550724556E-2</v>
      </c>
      <c r="E16" s="40" t="s">
        <v>100</v>
      </c>
      <c r="F16" s="69" t="s">
        <v>101</v>
      </c>
      <c r="G16" s="25">
        <v>210000</v>
      </c>
    </row>
    <row r="17" spans="1:7" ht="38" x14ac:dyDescent="0.2">
      <c r="A17" s="6" t="s">
        <v>185</v>
      </c>
      <c r="B17" s="63">
        <v>16</v>
      </c>
      <c r="C17" s="63">
        <v>16.399999999999999</v>
      </c>
      <c r="D17" s="64">
        <f t="shared" si="0"/>
        <v>2.4999999999999911E-2</v>
      </c>
      <c r="E17" s="37" t="s">
        <v>102</v>
      </c>
      <c r="F17" s="65" t="s">
        <v>97</v>
      </c>
      <c r="G17" s="23">
        <v>55000</v>
      </c>
    </row>
    <row r="18" spans="1:7" ht="38" x14ac:dyDescent="0.2">
      <c r="A18" s="9" t="s">
        <v>186</v>
      </c>
      <c r="B18" s="66">
        <v>15.2</v>
      </c>
      <c r="C18" s="66">
        <v>16.899999999999999</v>
      </c>
      <c r="D18" s="67">
        <f t="shared" si="0"/>
        <v>0.11184210526315785</v>
      </c>
      <c r="E18" s="40" t="s">
        <v>103</v>
      </c>
      <c r="F18" s="69" t="s">
        <v>101</v>
      </c>
      <c r="G18" s="25">
        <v>72000</v>
      </c>
    </row>
    <row r="20" spans="1:7" ht="42" customHeight="1" x14ac:dyDescent="0.2">
      <c r="A20" s="1" t="s">
        <v>187</v>
      </c>
      <c r="B20" s="2"/>
      <c r="C20" s="2"/>
      <c r="D20" s="2"/>
      <c r="E20" s="2"/>
    </row>
    <row r="21" spans="1:7" ht="57" customHeight="1" x14ac:dyDescent="0.2">
      <c r="A21" s="5" t="s">
        <v>104</v>
      </c>
      <c r="B21" s="5" t="s">
        <v>105</v>
      </c>
      <c r="C21" s="5" t="s">
        <v>106</v>
      </c>
      <c r="D21" s="5" t="s">
        <v>107</v>
      </c>
      <c r="E21" s="5" t="s">
        <v>108</v>
      </c>
    </row>
    <row r="22" spans="1:7" ht="25" customHeight="1" x14ac:dyDescent="0.2">
      <c r="A22" s="6" t="s">
        <v>109</v>
      </c>
      <c r="B22" s="7">
        <v>11</v>
      </c>
      <c r="C22" s="7">
        <v>10</v>
      </c>
      <c r="D22" s="70">
        <f t="shared" ref="D22:D27" si="1">C22/B22</f>
        <v>0.90909090909090906</v>
      </c>
      <c r="E22" s="23">
        <v>48200</v>
      </c>
    </row>
    <row r="23" spans="1:7" ht="25" customHeight="1" x14ac:dyDescent="0.2">
      <c r="A23" s="9" t="s">
        <v>110</v>
      </c>
      <c r="B23" s="16">
        <v>8</v>
      </c>
      <c r="C23" s="16">
        <v>7</v>
      </c>
      <c r="D23" s="70">
        <f t="shared" si="1"/>
        <v>0.875</v>
      </c>
      <c r="E23" s="25">
        <v>22700</v>
      </c>
    </row>
    <row r="24" spans="1:7" ht="24" customHeight="1" x14ac:dyDescent="0.2">
      <c r="A24" s="6" t="s">
        <v>111</v>
      </c>
      <c r="B24" s="7">
        <v>6</v>
      </c>
      <c r="C24" s="7">
        <v>5</v>
      </c>
      <c r="D24" s="70">
        <f t="shared" si="1"/>
        <v>0.83333333333333337</v>
      </c>
      <c r="E24" s="23">
        <v>31500</v>
      </c>
    </row>
    <row r="25" spans="1:7" ht="24" customHeight="1" x14ac:dyDescent="0.2">
      <c r="A25" s="9" t="s">
        <v>112</v>
      </c>
      <c r="B25" s="16">
        <v>5</v>
      </c>
      <c r="C25" s="16">
        <v>4</v>
      </c>
      <c r="D25" s="70">
        <f t="shared" si="1"/>
        <v>0.8</v>
      </c>
      <c r="E25" s="25">
        <v>18900</v>
      </c>
    </row>
    <row r="26" spans="1:7" ht="26" customHeight="1" x14ac:dyDescent="0.2">
      <c r="A26" s="6" t="s">
        <v>113</v>
      </c>
      <c r="B26" s="7">
        <v>4</v>
      </c>
      <c r="C26" s="7">
        <v>2</v>
      </c>
      <c r="D26" s="71">
        <f t="shared" si="1"/>
        <v>0.5</v>
      </c>
      <c r="E26" s="23">
        <v>9400</v>
      </c>
    </row>
    <row r="27" spans="1:7" ht="24" customHeight="1" x14ac:dyDescent="0.2">
      <c r="A27" s="9" t="s">
        <v>114</v>
      </c>
      <c r="B27" s="16">
        <v>3</v>
      </c>
      <c r="C27" s="16">
        <v>1</v>
      </c>
      <c r="D27" s="72">
        <f t="shared" si="1"/>
        <v>0.33333333333333331</v>
      </c>
      <c r="E27" s="25">
        <v>4100</v>
      </c>
    </row>
    <row r="29" spans="1:7" ht="42" customHeight="1" x14ac:dyDescent="0.2">
      <c r="A29" s="1" t="s">
        <v>188</v>
      </c>
      <c r="B29" s="2"/>
      <c r="C29" s="2"/>
      <c r="D29" s="2"/>
      <c r="E29" s="2"/>
    </row>
    <row r="30" spans="1:7" ht="63" customHeight="1" x14ac:dyDescent="0.2">
      <c r="A30" s="5" t="s">
        <v>115</v>
      </c>
      <c r="B30" s="5" t="s">
        <v>116</v>
      </c>
      <c r="C30" s="5" t="s">
        <v>117</v>
      </c>
      <c r="D30" s="5" t="s">
        <v>118</v>
      </c>
      <c r="E30" s="5" t="s">
        <v>119</v>
      </c>
    </row>
    <row r="31" spans="1:7" ht="57" x14ac:dyDescent="0.2">
      <c r="A31" s="28" t="s">
        <v>120</v>
      </c>
      <c r="B31" s="7">
        <v>14</v>
      </c>
      <c r="C31" s="13">
        <v>4.1000000000000002E-2</v>
      </c>
      <c r="D31" s="73">
        <v>0.79</v>
      </c>
      <c r="E31" s="57" t="s">
        <v>121</v>
      </c>
    </row>
    <row r="32" spans="1:7" ht="57" x14ac:dyDescent="0.2">
      <c r="A32" s="9" t="s">
        <v>122</v>
      </c>
      <c r="B32" s="16">
        <v>9</v>
      </c>
      <c r="C32" s="74">
        <v>6.8000000000000005E-2</v>
      </c>
      <c r="D32" s="75">
        <v>0.67</v>
      </c>
      <c r="E32" s="59" t="s">
        <v>123</v>
      </c>
    </row>
    <row r="33" spans="1:5" ht="57" x14ac:dyDescent="0.2">
      <c r="A33" s="6" t="s">
        <v>124</v>
      </c>
      <c r="B33" s="7">
        <v>5</v>
      </c>
      <c r="C33" s="13">
        <v>3.2000000000000001E-2</v>
      </c>
      <c r="D33" s="73">
        <v>0.8</v>
      </c>
      <c r="E33" s="57" t="s">
        <v>125</v>
      </c>
    </row>
    <row r="34" spans="1:5" ht="57" x14ac:dyDescent="0.2">
      <c r="A34" s="76" t="s">
        <v>126</v>
      </c>
      <c r="B34" s="16">
        <v>3</v>
      </c>
      <c r="C34" s="74">
        <v>9.5000000000000001E-2</v>
      </c>
      <c r="D34" s="77">
        <v>0.33</v>
      </c>
      <c r="E34" s="59" t="s">
        <v>127</v>
      </c>
    </row>
    <row r="37" spans="1:5" ht="103" customHeight="1" x14ac:dyDescent="0.2">
      <c r="A37" s="55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4" sqref="F24"/>
    </sheetView>
  </sheetViews>
  <sheetFormatPr baseColWidth="10" defaultColWidth="8.6640625" defaultRowHeight="18" x14ac:dyDescent="0.2"/>
  <cols>
    <col min="1" max="1" width="48.5" style="3" customWidth="1"/>
    <col min="2" max="2" width="24.83203125" style="3" customWidth="1"/>
    <col min="3" max="3" width="25.83203125" style="3" customWidth="1"/>
    <col min="4" max="4" width="29.6640625" style="3" customWidth="1"/>
    <col min="5" max="5" width="25" style="3" customWidth="1"/>
    <col min="6" max="16384" width="8.6640625" style="3"/>
  </cols>
  <sheetData>
    <row r="1" spans="1:5" ht="33" customHeight="1" x14ac:dyDescent="0.2">
      <c r="A1" s="1" t="s">
        <v>189</v>
      </c>
      <c r="B1" s="2"/>
      <c r="C1" s="2"/>
      <c r="D1" s="2"/>
      <c r="E1" s="2"/>
    </row>
    <row r="2" spans="1:5" ht="84" customHeight="1" x14ac:dyDescent="0.2">
      <c r="A2" s="55" t="s">
        <v>129</v>
      </c>
    </row>
    <row r="4" spans="1:5" ht="42" customHeight="1" x14ac:dyDescent="0.2">
      <c r="A4" s="78" t="s">
        <v>190</v>
      </c>
      <c r="B4" s="79"/>
      <c r="C4" s="79"/>
      <c r="D4" s="79"/>
      <c r="E4" s="79"/>
    </row>
    <row r="5" spans="1:5" ht="33" customHeight="1" x14ac:dyDescent="0.2">
      <c r="A5" s="5" t="s">
        <v>130</v>
      </c>
      <c r="B5" s="5" t="s">
        <v>131</v>
      </c>
      <c r="C5" s="5" t="s">
        <v>132</v>
      </c>
      <c r="D5" s="5" t="s">
        <v>51</v>
      </c>
      <c r="E5" s="5" t="s">
        <v>133</v>
      </c>
    </row>
    <row r="6" spans="1:5" ht="25" customHeight="1" x14ac:dyDescent="0.2">
      <c r="A6" s="80" t="s">
        <v>20</v>
      </c>
      <c r="B6" s="81" t="str">
        <f>'1 - Branding Metrics'!F5</f>
        <v>Q1 2026
(Actual)</v>
      </c>
      <c r="C6" s="82" t="s">
        <v>134</v>
      </c>
      <c r="D6" s="83" t="str">
        <f t="shared" ref="D6:D11" si="0">IF(B6&lt;&gt;"","✓ See source sheet","No data")</f>
        <v>✓ See source sheet</v>
      </c>
      <c r="E6" s="84" t="s">
        <v>196</v>
      </c>
    </row>
    <row r="7" spans="1:5" ht="25" customHeight="1" x14ac:dyDescent="0.2">
      <c r="A7" s="9" t="s">
        <v>135</v>
      </c>
      <c r="B7" s="85">
        <f>'1 - Branding Metrics'!F6</f>
        <v>68</v>
      </c>
      <c r="C7" s="86" t="s">
        <v>136</v>
      </c>
      <c r="D7" s="17" t="str">
        <f t="shared" si="0"/>
        <v>✓ See source sheet</v>
      </c>
      <c r="E7" s="87" t="s">
        <v>196</v>
      </c>
    </row>
    <row r="8" spans="1:5" ht="24" customHeight="1" x14ac:dyDescent="0.2">
      <c r="A8" s="80" t="s">
        <v>22</v>
      </c>
      <c r="B8" s="88">
        <f>'1 - Branding Metrics'!F7</f>
        <v>0.79</v>
      </c>
      <c r="C8" s="82" t="s">
        <v>137</v>
      </c>
      <c r="D8" s="83" t="str">
        <f t="shared" si="0"/>
        <v>✓ See source sheet</v>
      </c>
      <c r="E8" s="84" t="s">
        <v>196</v>
      </c>
    </row>
    <row r="9" spans="1:5" ht="26" customHeight="1" x14ac:dyDescent="0.2">
      <c r="A9" s="9" t="s">
        <v>138</v>
      </c>
      <c r="B9" s="85">
        <f>'1 - Branding Metrics'!F8</f>
        <v>4.5</v>
      </c>
      <c r="C9" s="86" t="s">
        <v>139</v>
      </c>
      <c r="D9" s="17" t="str">
        <f t="shared" si="0"/>
        <v>✓ See source sheet</v>
      </c>
      <c r="E9" s="87" t="s">
        <v>196</v>
      </c>
    </row>
    <row r="10" spans="1:5" ht="24" customHeight="1" x14ac:dyDescent="0.2">
      <c r="A10" s="80" t="s">
        <v>140</v>
      </c>
      <c r="B10" s="85">
        <f>'1 - Branding Metrics'!F9</f>
        <v>0.96</v>
      </c>
      <c r="C10" s="82" t="s">
        <v>141</v>
      </c>
      <c r="D10" s="83" t="str">
        <f t="shared" si="0"/>
        <v>✓ See source sheet</v>
      </c>
      <c r="E10" s="84" t="s">
        <v>196</v>
      </c>
    </row>
    <row r="11" spans="1:5" ht="27" customHeight="1" x14ac:dyDescent="0.2">
      <c r="A11" s="9" t="s">
        <v>142</v>
      </c>
      <c r="B11" s="85">
        <f>'1 - Branding Metrics'!F10</f>
        <v>0.88</v>
      </c>
      <c r="C11" s="86" t="s">
        <v>143</v>
      </c>
      <c r="D11" s="17" t="str">
        <f t="shared" si="0"/>
        <v>✓ See source sheet</v>
      </c>
      <c r="E11" s="87" t="s">
        <v>196</v>
      </c>
    </row>
    <row r="13" spans="1:5" ht="30" customHeight="1" x14ac:dyDescent="0.2">
      <c r="A13" s="78" t="s">
        <v>191</v>
      </c>
      <c r="B13" s="79"/>
      <c r="C13" s="79"/>
      <c r="D13" s="79"/>
      <c r="E13" s="79"/>
    </row>
    <row r="14" spans="1:5" ht="37" customHeight="1" x14ac:dyDescent="0.2">
      <c r="A14" s="5" t="s">
        <v>130</v>
      </c>
      <c r="B14" s="5" t="s">
        <v>131</v>
      </c>
      <c r="C14" s="5" t="s">
        <v>132</v>
      </c>
      <c r="D14" s="5" t="s">
        <v>51</v>
      </c>
      <c r="E14" s="5" t="s">
        <v>133</v>
      </c>
    </row>
    <row r="15" spans="1:5" ht="19" customHeight="1" x14ac:dyDescent="0.2">
      <c r="A15" s="89" t="s">
        <v>37</v>
      </c>
      <c r="B15" s="33">
        <f>'2 - Rejection Management'!B10</f>
        <v>372</v>
      </c>
      <c r="C15" s="90" t="s">
        <v>144</v>
      </c>
      <c r="D15" s="91" t="str">
        <f t="shared" ref="D15:D20" si="1">IF(B15&lt;&gt;"","✓ See source sheet","No data")</f>
        <v>✓ See source sheet</v>
      </c>
      <c r="E15" s="92" t="s">
        <v>197</v>
      </c>
    </row>
    <row r="16" spans="1:5" ht="23" customHeight="1" x14ac:dyDescent="0.2">
      <c r="A16" s="9" t="s">
        <v>145</v>
      </c>
      <c r="B16" s="33">
        <f>'2 - Rejection Management'!C10</f>
        <v>7</v>
      </c>
      <c r="C16" s="86" t="s">
        <v>144</v>
      </c>
      <c r="D16" s="17" t="str">
        <f t="shared" si="1"/>
        <v>✓ See source sheet</v>
      </c>
      <c r="E16" s="87" t="s">
        <v>197</v>
      </c>
    </row>
    <row r="17" spans="1:5" ht="22" customHeight="1" x14ac:dyDescent="0.2">
      <c r="A17" s="80" t="s">
        <v>39</v>
      </c>
      <c r="B17" s="85">
        <f>'2 - Rejection Management'!D10</f>
        <v>1.8817204301075269E-2</v>
      </c>
      <c r="C17" s="82" t="s">
        <v>146</v>
      </c>
      <c r="D17" s="83" t="str">
        <f t="shared" si="1"/>
        <v>✓ See source sheet</v>
      </c>
      <c r="E17" s="84" t="s">
        <v>198</v>
      </c>
    </row>
    <row r="18" spans="1:5" ht="24" customHeight="1" x14ac:dyDescent="0.2">
      <c r="A18" s="9" t="s">
        <v>147</v>
      </c>
      <c r="B18" s="33">
        <f>'2 - Rejection Management'!E10</f>
        <v>104</v>
      </c>
      <c r="C18" s="86" t="s">
        <v>144</v>
      </c>
      <c r="D18" s="17" t="str">
        <f t="shared" si="1"/>
        <v>✓ See source sheet</v>
      </c>
      <c r="E18" s="87" t="s">
        <v>197</v>
      </c>
    </row>
    <row r="19" spans="1:5" ht="24" customHeight="1" x14ac:dyDescent="0.2">
      <c r="A19" s="80" t="s">
        <v>148</v>
      </c>
      <c r="B19" s="93">
        <f>'2 - Rejection Management'!F10</f>
        <v>23</v>
      </c>
      <c r="C19" s="82" t="s">
        <v>144</v>
      </c>
      <c r="D19" s="83" t="str">
        <f t="shared" si="1"/>
        <v>✓ See source sheet</v>
      </c>
      <c r="E19" s="84" t="s">
        <v>197</v>
      </c>
    </row>
    <row r="20" spans="1:5" x14ac:dyDescent="0.2">
      <c r="A20" s="9" t="s">
        <v>149</v>
      </c>
      <c r="B20" s="94">
        <f>'2 - Rejection Management'!H10</f>
        <v>96600</v>
      </c>
      <c r="C20" s="86" t="s">
        <v>144</v>
      </c>
      <c r="D20" s="17" t="str">
        <f t="shared" si="1"/>
        <v>✓ See source sheet</v>
      </c>
      <c r="E20" s="87" t="s">
        <v>197</v>
      </c>
    </row>
    <row r="22" spans="1:5" ht="27" customHeight="1" x14ac:dyDescent="0.2">
      <c r="A22" s="78" t="s">
        <v>192</v>
      </c>
      <c r="B22" s="79"/>
      <c r="C22" s="79"/>
      <c r="D22" s="79"/>
      <c r="E22" s="79"/>
    </row>
    <row r="23" spans="1:5" ht="31" customHeight="1" x14ac:dyDescent="0.2">
      <c r="A23" s="5" t="s">
        <v>130</v>
      </c>
      <c r="B23" s="5" t="s">
        <v>131</v>
      </c>
      <c r="C23" s="5" t="s">
        <v>132</v>
      </c>
      <c r="D23" s="5" t="s">
        <v>51</v>
      </c>
      <c r="E23" s="5" t="s">
        <v>133</v>
      </c>
    </row>
    <row r="24" spans="1:5" ht="25" customHeight="1" x14ac:dyDescent="0.2">
      <c r="A24" s="89" t="s">
        <v>150</v>
      </c>
      <c r="B24" s="33">
        <f>'3 - Competitive Pricing'!B8</f>
        <v>4</v>
      </c>
      <c r="C24" s="90" t="s">
        <v>144</v>
      </c>
      <c r="D24" s="91" t="str">
        <f t="shared" ref="D24:D29" si="2">IF(B24&lt;&gt;"","✓ See source sheet","No data")</f>
        <v>✓ See source sheet</v>
      </c>
      <c r="E24" s="92" t="s">
        <v>196</v>
      </c>
    </row>
    <row r="25" spans="1:5" ht="25" customHeight="1" x14ac:dyDescent="0.2">
      <c r="A25" s="9" t="s">
        <v>193</v>
      </c>
      <c r="B25" s="93">
        <f>'3 - Competitive Pricing'!B6</f>
        <v>22</v>
      </c>
      <c r="C25" s="86" t="s">
        <v>144</v>
      </c>
      <c r="D25" s="17" t="str">
        <f t="shared" si="2"/>
        <v>✓ See source sheet</v>
      </c>
      <c r="E25" s="87" t="s">
        <v>196</v>
      </c>
    </row>
    <row r="26" spans="1:5" ht="22" customHeight="1" x14ac:dyDescent="0.2">
      <c r="A26" s="80" t="s">
        <v>194</v>
      </c>
      <c r="B26" s="93">
        <f>'3 - Competitive Pricing'!B7</f>
        <v>5</v>
      </c>
      <c r="C26" s="82" t="s">
        <v>144</v>
      </c>
      <c r="D26" s="83" t="str">
        <f t="shared" si="2"/>
        <v>✓ See source sheet</v>
      </c>
      <c r="E26" s="84" t="s">
        <v>196</v>
      </c>
    </row>
    <row r="27" spans="1:5" ht="23" customHeight="1" x14ac:dyDescent="0.2">
      <c r="A27" s="9" t="s">
        <v>151</v>
      </c>
      <c r="B27" s="95">
        <f>'3 - Competitive Pricing'!B9</f>
        <v>31</v>
      </c>
      <c r="C27" s="86" t="s">
        <v>144</v>
      </c>
      <c r="D27" s="17" t="str">
        <f t="shared" si="2"/>
        <v>✓ See source sheet</v>
      </c>
      <c r="E27" s="87" t="s">
        <v>196</v>
      </c>
    </row>
    <row r="28" spans="1:5" ht="21" customHeight="1" x14ac:dyDescent="0.2">
      <c r="A28" s="80" t="s">
        <v>152</v>
      </c>
      <c r="B28" s="96">
        <f>('3 - Competitive Pricing'!B6+'3 - Competitive Pricing'!B7)/'3 - Competitive Pricing'!B8</f>
        <v>6.75</v>
      </c>
      <c r="C28" s="82" t="s">
        <v>153</v>
      </c>
      <c r="D28" s="83" t="str">
        <f t="shared" si="2"/>
        <v>✓ See source sheet</v>
      </c>
      <c r="E28" s="84" t="s">
        <v>196</v>
      </c>
    </row>
    <row r="29" spans="1:5" ht="25" customHeight="1" x14ac:dyDescent="0.2">
      <c r="A29" s="9" t="s">
        <v>195</v>
      </c>
      <c r="B29" s="97">
        <f>'3 - Competitive Pricing'!D9</f>
        <v>1920000</v>
      </c>
      <c r="C29" s="86" t="s">
        <v>144</v>
      </c>
      <c r="D29" s="17" t="str">
        <f t="shared" si="2"/>
        <v>✓ See source sheet</v>
      </c>
      <c r="E29" s="87" t="s">
        <v>196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1 - Branding Metrics</vt:lpstr>
      <vt:lpstr>2 - Rejection Management</vt:lpstr>
      <vt:lpstr>3 - Competitive Pricing</vt:lpstr>
      <vt:lpstr>4 - 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kaszadraja@gmail.com</cp:lastModifiedBy>
  <cp:revision>0</cp:revision>
  <dcterms:created xsi:type="dcterms:W3CDTF">2026-03-19T15:14:07Z</dcterms:created>
  <dcterms:modified xsi:type="dcterms:W3CDTF">2026-03-19T18:10:43Z</dcterms:modified>
  <dc:language>en-US</dc:language>
</cp:coreProperties>
</file>